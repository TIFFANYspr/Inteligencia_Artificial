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Potosi Reyes Stefany\"/>
    </mc:Choice>
  </mc:AlternateContent>
  <xr:revisionPtr revIDLastSave="0" documentId="13_ncr:1_{4274A35E-5538-4D9A-A5D6-DE57C376EDC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Dato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" i="1" l="1"/>
  <c r="H15" i="1"/>
  <c r="I14" i="1"/>
  <c r="H14" i="1"/>
  <c r="H13" i="1"/>
  <c r="H12" i="1"/>
  <c r="H11" i="1"/>
  <c r="G4" i="1"/>
  <c r="G5" i="1" s="1"/>
  <c r="G3" i="1"/>
  <c r="G6" i="1" l="1"/>
  <c r="H2" i="1"/>
  <c r="G7" i="1" l="1"/>
  <c r="H3" i="1"/>
  <c r="J2" i="1"/>
  <c r="I2" i="1"/>
  <c r="H4" i="1" l="1"/>
  <c r="J3" i="1"/>
  <c r="I3" i="1"/>
  <c r="L2" i="1"/>
  <c r="G8" i="1"/>
  <c r="L3" i="1" l="1"/>
  <c r="H5" i="1"/>
  <c r="I4" i="1"/>
  <c r="J4" i="1"/>
  <c r="L4" i="1" l="1"/>
  <c r="H6" i="1"/>
  <c r="I5" i="1"/>
  <c r="J5" i="1"/>
  <c r="H7" i="1" l="1"/>
  <c r="J6" i="1"/>
  <c r="I6" i="1"/>
  <c r="L5" i="1"/>
  <c r="L6" i="1" l="1"/>
  <c r="H8" i="1"/>
  <c r="I7" i="1"/>
  <c r="J7" i="1"/>
  <c r="J8" i="1" l="1"/>
  <c r="I8" i="1"/>
  <c r="L7" i="1"/>
  <c r="L8" i="1" l="1"/>
  <c r="J9" i="1"/>
  <c r="K9" i="1" l="1"/>
  <c r="K2" i="1"/>
  <c r="M2" i="1" s="1"/>
  <c r="K3" i="1"/>
  <c r="K4" i="1"/>
  <c r="K5" i="1"/>
  <c r="K6" i="1"/>
  <c r="K7" i="1"/>
  <c r="K8" i="1"/>
  <c r="M3" i="1" l="1"/>
  <c r="M4" i="1" s="1"/>
  <c r="M5" i="1" s="1"/>
  <c r="M6" i="1" s="1"/>
  <c r="M7" i="1" s="1"/>
  <c r="M8" i="1" s="1"/>
</calcChain>
</file>

<file path=xl/sharedStrings.xml><?xml version="1.0" encoding="utf-8"?>
<sst xmlns="http://schemas.openxmlformats.org/spreadsheetml/2006/main" count="126" uniqueCount="35">
  <si>
    <t>ID</t>
  </si>
  <si>
    <t>País</t>
  </si>
  <si>
    <t>Estado Socioeconómico</t>
  </si>
  <si>
    <t>Apps Descargadas</t>
  </si>
  <si>
    <t>Tiempo en Celular (horas)</t>
  </si>
  <si>
    <t>LÍMITE INFERIOR</t>
  </si>
  <si>
    <t>LÍMITE SUPERIOR</t>
  </si>
  <si>
    <t>PUNTO MEDIO (MARCA DE CLASES)</t>
  </si>
  <si>
    <t>FRECUENCIA ABSOLUTA</t>
  </si>
  <si>
    <t>FRECUENCIA RELATIVA</t>
  </si>
  <si>
    <t>FRECUENCIA ACOMULADA</t>
  </si>
  <si>
    <t>FRECUENCIA RELATIVA ACUMULADA</t>
  </si>
  <si>
    <t>INTERVALOS</t>
  </si>
  <si>
    <t>México|</t>
  </si>
  <si>
    <t>Medio</t>
  </si>
  <si>
    <t>30-45</t>
  </si>
  <si>
    <t>Colombia</t>
  </si>
  <si>
    <t>Bajo</t>
  </si>
  <si>
    <t>45-60</t>
  </si>
  <si>
    <t>Argentina</t>
  </si>
  <si>
    <t>Alto</t>
  </si>
  <si>
    <t>60-75</t>
  </si>
  <si>
    <t>México</t>
  </si>
  <si>
    <t>75-90</t>
  </si>
  <si>
    <t>Chile</t>
  </si>
  <si>
    <t>90-105</t>
  </si>
  <si>
    <t>Perú</t>
  </si>
  <si>
    <t>105-120</t>
  </si>
  <si>
    <t>120-135</t>
  </si>
  <si>
    <t>DATOS MINIMO</t>
  </si>
  <si>
    <t>DATOS MAXIMO</t>
  </si>
  <si>
    <t>RANGO</t>
  </si>
  <si>
    <t>Redondeo</t>
  </si>
  <si>
    <t>NÚMERO DE CALSES</t>
  </si>
  <si>
    <t>AMPLITUD DE 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</si>
</sst>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scheme val="minor"/>
    </font>
    <font>
      <sz val="10"/>
      <color theme="1"/>
      <name val="Arial"/>
      <scheme val="minor"/>
    </font>
    <font>
      <sz val="11"/>
      <color rgb="FF242424"/>
      <name val="Arial"/>
      <scheme val="minor"/>
    </font>
    <font>
      <sz val="11"/>
      <color rgb="FF000000"/>
      <name val="Arial"/>
      <scheme val="minor"/>
    </font>
    <font>
      <b/>
      <sz val="7"/>
      <color rgb="FF000000"/>
      <name val="Arial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0" fontId="6" fillId="3" borderId="1" xfId="0" applyNumberFormat="1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Histograma de Frecuencias de Apps Descargadas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Datos!$J$1</c:f>
              <c:strCache>
                <c:ptCount val="1"/>
                <c:pt idx="0">
                  <c:v>FRECUENCIA ABSOLUTA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Datos!$O$2:$O$8</c:f>
              <c:strCache>
                <c:ptCount val="7"/>
                <c:pt idx="0">
                  <c:v>30-45</c:v>
                </c:pt>
                <c:pt idx="1">
                  <c:v>45-60</c:v>
                </c:pt>
                <c:pt idx="2">
                  <c:v>60-75</c:v>
                </c:pt>
                <c:pt idx="3">
                  <c:v>75-90</c:v>
                </c:pt>
                <c:pt idx="4">
                  <c:v>90-105</c:v>
                </c:pt>
                <c:pt idx="5">
                  <c:v>105-120</c:v>
                </c:pt>
                <c:pt idx="6">
                  <c:v>120-135</c:v>
                </c:pt>
              </c:strCache>
            </c:strRef>
          </c:cat>
          <c:val>
            <c:numRef>
              <c:f>Datos!$J$2:$J$8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E5B-4787-BB3D-EAA668258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9853530"/>
        <c:axId val="695493114"/>
      </c:barChart>
      <c:catAx>
        <c:axId val="1349853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Intervalos de Apps Descargadas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Arial"/>
              </a:defRPr>
            </a:pPr>
            <a:endParaRPr lang="es-CO"/>
          </a:p>
        </c:txPr>
        <c:crossAx val="695493114"/>
        <c:crosses val="autoZero"/>
        <c:auto val="1"/>
        <c:lblAlgn val="ctr"/>
        <c:lblOffset val="100"/>
        <c:noMultiLvlLbl val="1"/>
      </c:catAx>
      <c:valAx>
        <c:axId val="695493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Frecuencia Absoluta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498535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Polígono de Frecuencias de Apps Descargadas</a:t>
            </a:r>
          </a:p>
        </c:rich>
      </c:tx>
      <c:layout>
        <c:manualLayout>
          <c:xMode val="edge"/>
          <c:yMode val="edge"/>
          <c:x val="0.16776029962546815"/>
          <c:y val="4.067796610169491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Datos!$J$1</c:f>
              <c:strCache>
                <c:ptCount val="1"/>
                <c:pt idx="0">
                  <c:v>FRECUENCIA ABSOLUTA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Datos!$I$2:$I$8</c:f>
              <c:numCache>
                <c:formatCode>General</c:formatCode>
                <c:ptCount val="7"/>
                <c:pt idx="0">
                  <c:v>37.5</c:v>
                </c:pt>
                <c:pt idx="1">
                  <c:v>52.5</c:v>
                </c:pt>
                <c:pt idx="2">
                  <c:v>67.5</c:v>
                </c:pt>
                <c:pt idx="3">
                  <c:v>82.5</c:v>
                </c:pt>
                <c:pt idx="4">
                  <c:v>97.5</c:v>
                </c:pt>
                <c:pt idx="5">
                  <c:v>112.5</c:v>
                </c:pt>
                <c:pt idx="6">
                  <c:v>127.5</c:v>
                </c:pt>
              </c:numCache>
            </c:numRef>
          </c:cat>
          <c:val>
            <c:numRef>
              <c:f>Datos!$J$2:$J$8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17-4FD6-BAA4-D7D53FCA9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222169"/>
        <c:axId val="1396029349"/>
      </c:lineChart>
      <c:catAx>
        <c:axId val="491222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Marca de Clase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96029349"/>
        <c:crosses val="autoZero"/>
        <c:auto val="1"/>
        <c:lblAlgn val="ctr"/>
        <c:lblOffset val="100"/>
        <c:noMultiLvlLbl val="1"/>
      </c:catAx>
      <c:valAx>
        <c:axId val="1396029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Frecuencia Absoluta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491222169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Ojiva o Curva Acumulada de Apps Descargadas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Datos!$L$1</c:f>
              <c:strCache>
                <c:ptCount val="1"/>
                <c:pt idx="0">
                  <c:v>FRECUENCIA ACOMULADA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Datos!$I$2:$I$8</c:f>
              <c:numCache>
                <c:formatCode>General</c:formatCode>
                <c:ptCount val="7"/>
                <c:pt idx="0">
                  <c:v>37.5</c:v>
                </c:pt>
                <c:pt idx="1">
                  <c:v>52.5</c:v>
                </c:pt>
                <c:pt idx="2">
                  <c:v>67.5</c:v>
                </c:pt>
                <c:pt idx="3">
                  <c:v>82.5</c:v>
                </c:pt>
                <c:pt idx="4">
                  <c:v>97.5</c:v>
                </c:pt>
                <c:pt idx="5">
                  <c:v>112.5</c:v>
                </c:pt>
                <c:pt idx="6">
                  <c:v>127.5</c:v>
                </c:pt>
              </c:numCache>
            </c:numRef>
          </c:cat>
          <c:val>
            <c:numRef>
              <c:f>Datos!$L$2:$L$8</c:f>
              <c:numCache>
                <c:formatCode>General</c:formatCode>
                <c:ptCount val="7"/>
                <c:pt idx="0">
                  <c:v>7</c:v>
                </c:pt>
                <c:pt idx="1">
                  <c:v>13</c:v>
                </c:pt>
                <c:pt idx="2">
                  <c:v>23</c:v>
                </c:pt>
                <c:pt idx="3">
                  <c:v>32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17-4D0B-B007-6DA57F18A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4108061"/>
        <c:axId val="2058356173"/>
      </c:lineChart>
      <c:catAx>
        <c:axId val="1784108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Marca de Clase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058356173"/>
        <c:crosses val="autoZero"/>
        <c:auto val="1"/>
        <c:lblAlgn val="ctr"/>
        <c:lblOffset val="100"/>
        <c:noMultiLvlLbl val="1"/>
      </c:catAx>
      <c:valAx>
        <c:axId val="2058356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Frecuencia Acumulada (Fi)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784108061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676275</xdr:colOff>
      <xdr:row>9</xdr:row>
      <xdr:rowOff>190500</xdr:rowOff>
    </xdr:from>
    <xdr:ext cx="4933950" cy="28098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171450</xdr:colOff>
      <xdr:row>16</xdr:row>
      <xdr:rowOff>38100</xdr:rowOff>
    </xdr:from>
    <xdr:ext cx="4238625" cy="280987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676275</xdr:colOff>
      <xdr:row>25</xdr:row>
      <xdr:rowOff>123825</xdr:rowOff>
    </xdr:from>
    <xdr:ext cx="4933950" cy="2809875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51"/>
  <sheetViews>
    <sheetView tabSelected="1" workbookViewId="0">
      <selection activeCell="J12" sqref="J12"/>
    </sheetView>
  </sheetViews>
  <sheetFormatPr baseColWidth="10" defaultColWidth="12.5703125" defaultRowHeight="15.75" customHeight="1" x14ac:dyDescent="0.2"/>
  <cols>
    <col min="3" max="3" width="21.42578125" bestFit="1" customWidth="1"/>
    <col min="4" max="4" width="16.85546875" bestFit="1" customWidth="1"/>
    <col min="5" max="5" width="22.42578125" bestFit="1" customWidth="1"/>
    <col min="6" max="6" width="4.85546875" customWidth="1"/>
    <col min="7" max="7" width="17.7109375" bestFit="1" customWidth="1"/>
    <col min="8" max="8" width="12.7109375" customWidth="1"/>
    <col min="9" max="9" width="28.140625" bestFit="1" customWidth="1"/>
    <col min="10" max="10" width="19.42578125" bestFit="1" customWidth="1"/>
    <col min="11" max="11" width="18.7109375" bestFit="1" customWidth="1"/>
    <col min="12" max="12" width="21.28515625" bestFit="1" customWidth="1"/>
    <col min="13" max="13" width="29.42578125" bestFit="1" customWidth="1"/>
    <col min="14" max="14" width="5.42578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O1" s="3" t="s">
        <v>12</v>
      </c>
    </row>
    <row r="2" spans="1:15" x14ac:dyDescent="0.2">
      <c r="A2" s="4">
        <v>1</v>
      </c>
      <c r="B2" s="4" t="s">
        <v>13</v>
      </c>
      <c r="C2" s="4" t="s">
        <v>14</v>
      </c>
      <c r="D2" s="4">
        <v>75</v>
      </c>
      <c r="E2" s="4">
        <v>4.5</v>
      </c>
      <c r="G2" s="5">
        <v>30</v>
      </c>
      <c r="H2" s="6">
        <f>G3</f>
        <v>45</v>
      </c>
      <c r="I2" s="6">
        <f t="shared" ref="I2:I8" si="0">(G2+H2)/2</f>
        <v>37.5</v>
      </c>
      <c r="J2" s="7">
        <f t="shared" ref="J2:J8" si="1">COUNTIFS(D:D,"&gt;="&amp;G2,D:D,"&lt;"&amp;H2)</f>
        <v>7</v>
      </c>
      <c r="K2" s="8">
        <f t="shared" ref="K2:K9" si="2">J2/$J$9</f>
        <v>0.14000000000000001</v>
      </c>
      <c r="L2" s="6">
        <f t="shared" ref="L2:M2" si="3">J2</f>
        <v>7</v>
      </c>
      <c r="M2" s="9">
        <f t="shared" si="3"/>
        <v>0.14000000000000001</v>
      </c>
      <c r="O2" s="5" t="s">
        <v>15</v>
      </c>
    </row>
    <row r="3" spans="1:15" x14ac:dyDescent="0.2">
      <c r="A3" s="10">
        <v>2</v>
      </c>
      <c r="B3" s="10" t="s">
        <v>16</v>
      </c>
      <c r="C3" s="10" t="s">
        <v>17</v>
      </c>
      <c r="D3" s="10">
        <v>30</v>
      </c>
      <c r="E3" s="10">
        <v>2.8</v>
      </c>
      <c r="G3" s="6">
        <f t="shared" ref="G3:H3" si="4">G2+15</f>
        <v>45</v>
      </c>
      <c r="H3" s="6">
        <f t="shared" si="4"/>
        <v>60</v>
      </c>
      <c r="I3" s="6">
        <f t="shared" si="0"/>
        <v>52.5</v>
      </c>
      <c r="J3" s="7">
        <f t="shared" si="1"/>
        <v>6</v>
      </c>
      <c r="K3" s="8">
        <f t="shared" si="2"/>
        <v>0.12</v>
      </c>
      <c r="L3" s="6">
        <f t="shared" ref="L3:M3" si="5">L2+J3</f>
        <v>13</v>
      </c>
      <c r="M3" s="9">
        <f t="shared" si="5"/>
        <v>0.26</v>
      </c>
      <c r="O3" s="5" t="s">
        <v>18</v>
      </c>
    </row>
    <row r="4" spans="1:15" x14ac:dyDescent="0.2">
      <c r="A4" s="4">
        <v>3</v>
      </c>
      <c r="B4" s="4" t="s">
        <v>19</v>
      </c>
      <c r="C4" s="4" t="s">
        <v>20</v>
      </c>
      <c r="D4" s="4">
        <v>120</v>
      </c>
      <c r="E4" s="4">
        <v>7.1</v>
      </c>
      <c r="G4" s="6">
        <f t="shared" ref="G4:H4" si="6">G3+15</f>
        <v>60</v>
      </c>
      <c r="H4" s="6">
        <f t="shared" si="6"/>
        <v>75</v>
      </c>
      <c r="I4" s="6">
        <f t="shared" si="0"/>
        <v>67.5</v>
      </c>
      <c r="J4" s="7">
        <f t="shared" si="1"/>
        <v>10</v>
      </c>
      <c r="K4" s="8">
        <f t="shared" si="2"/>
        <v>0.2</v>
      </c>
      <c r="L4" s="6">
        <f t="shared" ref="L4:M4" si="7">L3+J4</f>
        <v>23</v>
      </c>
      <c r="M4" s="9">
        <f t="shared" si="7"/>
        <v>0.46</v>
      </c>
      <c r="O4" s="5" t="s">
        <v>21</v>
      </c>
    </row>
    <row r="5" spans="1:15" x14ac:dyDescent="0.2">
      <c r="A5" s="10">
        <v>4</v>
      </c>
      <c r="B5" s="10" t="s">
        <v>22</v>
      </c>
      <c r="C5" s="10" t="s">
        <v>14</v>
      </c>
      <c r="D5" s="10">
        <v>60</v>
      </c>
      <c r="E5" s="10">
        <v>5</v>
      </c>
      <c r="G5" s="6">
        <f t="shared" ref="G5:H5" si="8">G4+15</f>
        <v>75</v>
      </c>
      <c r="H5" s="6">
        <f t="shared" si="8"/>
        <v>90</v>
      </c>
      <c r="I5" s="6">
        <f t="shared" si="0"/>
        <v>82.5</v>
      </c>
      <c r="J5" s="7">
        <f t="shared" si="1"/>
        <v>9</v>
      </c>
      <c r="K5" s="8">
        <f t="shared" si="2"/>
        <v>0.18</v>
      </c>
      <c r="L5" s="6">
        <f t="shared" ref="L5:M5" si="9">L4+J5</f>
        <v>32</v>
      </c>
      <c r="M5" s="9">
        <f t="shared" si="9"/>
        <v>0.64</v>
      </c>
      <c r="O5" s="5" t="s">
        <v>23</v>
      </c>
    </row>
    <row r="6" spans="1:15" x14ac:dyDescent="0.2">
      <c r="A6" s="4">
        <v>5</v>
      </c>
      <c r="B6" s="4" t="s">
        <v>24</v>
      </c>
      <c r="C6" s="4" t="s">
        <v>14</v>
      </c>
      <c r="D6" s="4">
        <v>85</v>
      </c>
      <c r="E6" s="4">
        <v>6.3</v>
      </c>
      <c r="G6" s="6">
        <f t="shared" ref="G6:H6" si="10">G5+15</f>
        <v>90</v>
      </c>
      <c r="H6" s="6">
        <f t="shared" si="10"/>
        <v>105</v>
      </c>
      <c r="I6" s="6">
        <f t="shared" si="0"/>
        <v>97.5</v>
      </c>
      <c r="J6" s="7">
        <f t="shared" si="1"/>
        <v>8</v>
      </c>
      <c r="K6" s="8">
        <f t="shared" si="2"/>
        <v>0.16</v>
      </c>
      <c r="L6" s="6">
        <f t="shared" ref="L6:M6" si="11">L5+J6</f>
        <v>40</v>
      </c>
      <c r="M6" s="9">
        <f t="shared" si="11"/>
        <v>0.8</v>
      </c>
      <c r="O6" s="5" t="s">
        <v>25</v>
      </c>
    </row>
    <row r="7" spans="1:15" x14ac:dyDescent="0.2">
      <c r="A7" s="10">
        <v>6</v>
      </c>
      <c r="B7" s="10" t="s">
        <v>26</v>
      </c>
      <c r="C7" s="10" t="s">
        <v>17</v>
      </c>
      <c r="D7" s="10">
        <v>45</v>
      </c>
      <c r="E7" s="10">
        <v>3.2</v>
      </c>
      <c r="G7" s="6">
        <f t="shared" ref="G7:H7" si="12">G6+15</f>
        <v>105</v>
      </c>
      <c r="H7" s="6">
        <f t="shared" si="12"/>
        <v>120</v>
      </c>
      <c r="I7" s="6">
        <f t="shared" si="0"/>
        <v>112.5</v>
      </c>
      <c r="J7" s="7">
        <f t="shared" si="1"/>
        <v>5</v>
      </c>
      <c r="K7" s="8">
        <f t="shared" si="2"/>
        <v>0.1</v>
      </c>
      <c r="L7" s="6">
        <f t="shared" ref="L7:M7" si="13">L6+J7</f>
        <v>45</v>
      </c>
      <c r="M7" s="9">
        <f t="shared" si="13"/>
        <v>0.9</v>
      </c>
      <c r="O7" s="5" t="s">
        <v>27</v>
      </c>
    </row>
    <row r="8" spans="1:15" x14ac:dyDescent="0.2">
      <c r="A8" s="4">
        <v>7</v>
      </c>
      <c r="B8" s="4" t="s">
        <v>22</v>
      </c>
      <c r="C8" s="4" t="s">
        <v>14</v>
      </c>
      <c r="D8" s="4">
        <v>90</v>
      </c>
      <c r="E8" s="4">
        <v>5.8</v>
      </c>
      <c r="G8" s="6">
        <f t="shared" ref="G8:H8" si="14">G7+15</f>
        <v>120</v>
      </c>
      <c r="H8" s="6">
        <f t="shared" si="14"/>
        <v>135</v>
      </c>
      <c r="I8" s="6">
        <f t="shared" si="0"/>
        <v>127.5</v>
      </c>
      <c r="J8" s="7">
        <f t="shared" si="1"/>
        <v>5</v>
      </c>
      <c r="K8" s="8">
        <f t="shared" si="2"/>
        <v>0.1</v>
      </c>
      <c r="L8" s="6">
        <f t="shared" ref="L8:M8" si="15">L7+J8</f>
        <v>50</v>
      </c>
      <c r="M8" s="9">
        <f t="shared" si="15"/>
        <v>1</v>
      </c>
      <c r="O8" s="5" t="s">
        <v>28</v>
      </c>
    </row>
    <row r="9" spans="1:15" x14ac:dyDescent="0.2">
      <c r="A9" s="10">
        <v>8</v>
      </c>
      <c r="B9" s="10" t="s">
        <v>16</v>
      </c>
      <c r="C9" s="10" t="s">
        <v>14</v>
      </c>
      <c r="D9" s="10">
        <v>70</v>
      </c>
      <c r="E9" s="10">
        <v>4.0999999999999996</v>
      </c>
      <c r="G9" s="11"/>
      <c r="H9" s="11"/>
      <c r="I9" s="11"/>
      <c r="J9" s="7">
        <f>SUM(J2:J8)</f>
        <v>50</v>
      </c>
      <c r="K9" s="8">
        <f t="shared" si="2"/>
        <v>1</v>
      </c>
      <c r="L9" s="11"/>
      <c r="M9" s="11"/>
      <c r="O9" s="11"/>
    </row>
    <row r="10" spans="1:15" x14ac:dyDescent="0.2">
      <c r="A10" s="4">
        <v>9</v>
      </c>
      <c r="B10" s="4" t="s">
        <v>19</v>
      </c>
      <c r="C10" s="4" t="s">
        <v>14</v>
      </c>
      <c r="D10" s="4">
        <v>100</v>
      </c>
      <c r="E10" s="4">
        <v>6.5</v>
      </c>
      <c r="G10" s="11"/>
      <c r="H10" s="11"/>
      <c r="I10" s="11"/>
      <c r="J10" s="11"/>
      <c r="K10" s="11"/>
      <c r="L10" s="11"/>
      <c r="M10" s="11"/>
    </row>
    <row r="11" spans="1:15" x14ac:dyDescent="0.2">
      <c r="A11" s="10">
        <v>10</v>
      </c>
      <c r="B11" s="10" t="s">
        <v>22</v>
      </c>
      <c r="C11" s="10" t="s">
        <v>17</v>
      </c>
      <c r="D11" s="10">
        <v>50</v>
      </c>
      <c r="E11" s="10">
        <v>3.9</v>
      </c>
      <c r="G11" s="12" t="s">
        <v>29</v>
      </c>
      <c r="H11" s="6">
        <f>MIN(D2:D51)</f>
        <v>30</v>
      </c>
      <c r="I11" s="11"/>
      <c r="J11" s="11"/>
      <c r="K11" s="11"/>
      <c r="L11" s="11"/>
      <c r="M11" s="11"/>
    </row>
    <row r="12" spans="1:15" x14ac:dyDescent="0.2">
      <c r="A12" s="4">
        <v>11</v>
      </c>
      <c r="B12" s="4" t="s">
        <v>24</v>
      </c>
      <c r="C12" s="4" t="s">
        <v>20</v>
      </c>
      <c r="D12" s="4">
        <v>110</v>
      </c>
      <c r="E12" s="4">
        <v>7.8</v>
      </c>
      <c r="G12" s="12" t="s">
        <v>30</v>
      </c>
      <c r="H12" s="6">
        <f>MAX(D2:D51)</f>
        <v>132</v>
      </c>
      <c r="I12" s="11"/>
      <c r="J12" s="11"/>
      <c r="K12" s="11"/>
      <c r="L12" s="11"/>
      <c r="M12" s="11"/>
    </row>
    <row r="13" spans="1:15" x14ac:dyDescent="0.2">
      <c r="A13" s="10">
        <v>12</v>
      </c>
      <c r="B13" s="10" t="s">
        <v>26</v>
      </c>
      <c r="C13" s="10" t="s">
        <v>14</v>
      </c>
      <c r="D13" s="10">
        <v>65</v>
      </c>
      <c r="E13" s="10">
        <v>4.9000000000000004</v>
      </c>
      <c r="G13" s="12" t="s">
        <v>31</v>
      </c>
      <c r="H13" s="6">
        <f>MAX(D2:D51)-MIN(D2:D51)</f>
        <v>102</v>
      </c>
      <c r="I13" s="13" t="s">
        <v>32</v>
      </c>
      <c r="J13" s="11"/>
      <c r="K13" s="11"/>
      <c r="L13" s="11"/>
      <c r="M13" s="11"/>
    </row>
    <row r="14" spans="1:15" x14ac:dyDescent="0.2">
      <c r="A14" s="4">
        <v>13</v>
      </c>
      <c r="B14" s="4" t="s">
        <v>22</v>
      </c>
      <c r="C14" s="4" t="s">
        <v>14</v>
      </c>
      <c r="D14" s="4">
        <v>80</v>
      </c>
      <c r="E14" s="4">
        <v>5.3</v>
      </c>
      <c r="G14" s="12" t="s">
        <v>33</v>
      </c>
      <c r="H14" s="6">
        <f t="shared" ref="H14:I14" si="16">1+3.322*LOG10(50)</f>
        <v>6.6439783544042541</v>
      </c>
      <c r="I14" s="14">
        <f t="shared" si="16"/>
        <v>6.6439783544042541</v>
      </c>
      <c r="J14" s="11"/>
      <c r="K14" s="11"/>
      <c r="L14" s="11"/>
      <c r="M14" s="11"/>
    </row>
    <row r="15" spans="1:15" x14ac:dyDescent="0.2">
      <c r="A15" s="10">
        <v>14</v>
      </c>
      <c r="B15" s="10" t="s">
        <v>16</v>
      </c>
      <c r="C15" s="10" t="s">
        <v>17</v>
      </c>
      <c r="D15" s="10">
        <v>35</v>
      </c>
      <c r="E15" s="10">
        <v>2.5</v>
      </c>
      <c r="G15" s="12" t="s">
        <v>34</v>
      </c>
      <c r="H15" s="6">
        <f>(MAX(D2:D51)-MIN(D2:D51))/7</f>
        <v>14.571428571428571</v>
      </c>
      <c r="I15" s="14">
        <f>(MAX(D2:D51)-MIN(D2:D51))/7</f>
        <v>14.571428571428571</v>
      </c>
      <c r="J15" s="11"/>
      <c r="K15" s="11"/>
      <c r="L15" s="11"/>
      <c r="M15" s="11"/>
    </row>
    <row r="16" spans="1:15" x14ac:dyDescent="0.2">
      <c r="A16" s="4">
        <v>15</v>
      </c>
      <c r="B16" s="4" t="s">
        <v>19</v>
      </c>
      <c r="C16" s="4" t="s">
        <v>14</v>
      </c>
      <c r="D16" s="4">
        <v>95</v>
      </c>
      <c r="E16" s="4">
        <v>6</v>
      </c>
    </row>
    <row r="17" spans="1:5" x14ac:dyDescent="0.2">
      <c r="A17" s="10">
        <v>16</v>
      </c>
      <c r="B17" s="10" t="s">
        <v>22</v>
      </c>
      <c r="C17" s="10" t="s">
        <v>14</v>
      </c>
      <c r="D17" s="10">
        <v>70</v>
      </c>
      <c r="E17" s="10">
        <v>4.8</v>
      </c>
    </row>
    <row r="18" spans="1:5" x14ac:dyDescent="0.2">
      <c r="A18" s="4">
        <v>17</v>
      </c>
      <c r="B18" s="4" t="s">
        <v>24</v>
      </c>
      <c r="C18" s="4" t="s">
        <v>17</v>
      </c>
      <c r="D18" s="4">
        <v>40</v>
      </c>
      <c r="E18" s="4">
        <v>3</v>
      </c>
    </row>
    <row r="19" spans="1:5" x14ac:dyDescent="0.2">
      <c r="A19" s="10">
        <v>18</v>
      </c>
      <c r="B19" s="10" t="s">
        <v>26</v>
      </c>
      <c r="C19" s="10" t="s">
        <v>20</v>
      </c>
      <c r="D19" s="10">
        <v>130</v>
      </c>
      <c r="E19" s="10">
        <v>8.5</v>
      </c>
    </row>
    <row r="20" spans="1:5" x14ac:dyDescent="0.2">
      <c r="A20" s="4">
        <v>19</v>
      </c>
      <c r="B20" s="4" t="s">
        <v>22</v>
      </c>
      <c r="C20" s="4" t="s">
        <v>14</v>
      </c>
      <c r="D20" s="4">
        <v>105</v>
      </c>
      <c r="E20" s="4">
        <v>6.7</v>
      </c>
    </row>
    <row r="21" spans="1:5" x14ac:dyDescent="0.2">
      <c r="A21" s="10">
        <v>20</v>
      </c>
      <c r="B21" s="10" t="s">
        <v>16</v>
      </c>
      <c r="C21" s="10" t="s">
        <v>14</v>
      </c>
      <c r="D21" s="10">
        <v>80</v>
      </c>
      <c r="E21" s="10">
        <v>5.5</v>
      </c>
    </row>
    <row r="22" spans="1:5" x14ac:dyDescent="0.2">
      <c r="A22" s="4">
        <v>21</v>
      </c>
      <c r="B22" s="4" t="s">
        <v>22</v>
      </c>
      <c r="C22" s="4" t="s">
        <v>14</v>
      </c>
      <c r="D22" s="4">
        <v>72</v>
      </c>
      <c r="E22" s="4">
        <v>4.5999999999999996</v>
      </c>
    </row>
    <row r="23" spans="1:5" x14ac:dyDescent="0.2">
      <c r="A23" s="10">
        <v>22</v>
      </c>
      <c r="B23" s="10" t="s">
        <v>16</v>
      </c>
      <c r="C23" s="10" t="s">
        <v>17</v>
      </c>
      <c r="D23" s="10">
        <v>33</v>
      </c>
      <c r="E23" s="10">
        <v>2.9</v>
      </c>
    </row>
    <row r="24" spans="1:5" x14ac:dyDescent="0.2">
      <c r="A24" s="4">
        <v>23</v>
      </c>
      <c r="B24" s="4" t="s">
        <v>19</v>
      </c>
      <c r="C24" s="4" t="s">
        <v>20</v>
      </c>
      <c r="D24" s="4">
        <v>125</v>
      </c>
      <c r="E24" s="4">
        <v>7.3</v>
      </c>
    </row>
    <row r="25" spans="1:5" x14ac:dyDescent="0.2">
      <c r="A25" s="10">
        <v>24</v>
      </c>
      <c r="B25" s="10" t="s">
        <v>22</v>
      </c>
      <c r="C25" s="10" t="s">
        <v>14</v>
      </c>
      <c r="D25" s="10">
        <v>63</v>
      </c>
      <c r="E25" s="10">
        <v>5.0999999999999996</v>
      </c>
    </row>
    <row r="26" spans="1:5" x14ac:dyDescent="0.2">
      <c r="A26" s="4">
        <v>25</v>
      </c>
      <c r="B26" s="4" t="s">
        <v>24</v>
      </c>
      <c r="C26" s="4" t="s">
        <v>14</v>
      </c>
      <c r="D26" s="4">
        <v>88</v>
      </c>
      <c r="E26" s="4">
        <v>6.4</v>
      </c>
    </row>
    <row r="27" spans="1:5" x14ac:dyDescent="0.2">
      <c r="A27" s="10">
        <v>26</v>
      </c>
      <c r="B27" s="10" t="s">
        <v>26</v>
      </c>
      <c r="C27" s="10" t="s">
        <v>17</v>
      </c>
      <c r="D27" s="10">
        <v>48</v>
      </c>
      <c r="E27" s="10">
        <v>3.3</v>
      </c>
    </row>
    <row r="28" spans="1:5" x14ac:dyDescent="0.2">
      <c r="A28" s="4">
        <v>27</v>
      </c>
      <c r="B28" s="4" t="s">
        <v>22</v>
      </c>
      <c r="C28" s="4" t="s">
        <v>14</v>
      </c>
      <c r="D28" s="4">
        <v>92</v>
      </c>
      <c r="E28" s="4">
        <v>5.9</v>
      </c>
    </row>
    <row r="29" spans="1:5" x14ac:dyDescent="0.2">
      <c r="A29" s="10">
        <v>28</v>
      </c>
      <c r="B29" s="10" t="s">
        <v>16</v>
      </c>
      <c r="C29" s="10" t="s">
        <v>14</v>
      </c>
      <c r="D29" s="10">
        <v>73</v>
      </c>
      <c r="E29" s="10">
        <v>4.2</v>
      </c>
    </row>
    <row r="30" spans="1:5" x14ac:dyDescent="0.2">
      <c r="A30" s="4">
        <v>29</v>
      </c>
      <c r="B30" s="4" t="s">
        <v>19</v>
      </c>
      <c r="C30" s="4" t="s">
        <v>14</v>
      </c>
      <c r="D30" s="4">
        <v>103</v>
      </c>
      <c r="E30" s="4">
        <v>6.6</v>
      </c>
    </row>
    <row r="31" spans="1:5" x14ac:dyDescent="0.2">
      <c r="A31" s="10">
        <v>30</v>
      </c>
      <c r="B31" s="10" t="s">
        <v>22</v>
      </c>
      <c r="C31" s="10" t="s">
        <v>17</v>
      </c>
      <c r="D31" s="10">
        <v>52</v>
      </c>
      <c r="E31" s="10">
        <v>4</v>
      </c>
    </row>
    <row r="32" spans="1:5" x14ac:dyDescent="0.2">
      <c r="A32" s="4">
        <v>31</v>
      </c>
      <c r="B32" s="4" t="s">
        <v>24</v>
      </c>
      <c r="C32" s="4" t="s">
        <v>20</v>
      </c>
      <c r="D32" s="4">
        <v>112</v>
      </c>
      <c r="E32" s="4">
        <v>7.9</v>
      </c>
    </row>
    <row r="33" spans="1:5" x14ac:dyDescent="0.2">
      <c r="A33" s="10">
        <v>32</v>
      </c>
      <c r="B33" s="10" t="s">
        <v>26</v>
      </c>
      <c r="C33" s="10" t="s">
        <v>14</v>
      </c>
      <c r="D33" s="10">
        <v>68</v>
      </c>
      <c r="E33" s="10">
        <v>5</v>
      </c>
    </row>
    <row r="34" spans="1:5" x14ac:dyDescent="0.2">
      <c r="A34" s="4">
        <v>33</v>
      </c>
      <c r="B34" s="4" t="s">
        <v>22</v>
      </c>
      <c r="C34" s="4" t="s">
        <v>14</v>
      </c>
      <c r="D34" s="4">
        <v>82</v>
      </c>
      <c r="E34" s="4">
        <v>5.4</v>
      </c>
    </row>
    <row r="35" spans="1:5" x14ac:dyDescent="0.2">
      <c r="A35" s="10">
        <v>34</v>
      </c>
      <c r="B35" s="10" t="s">
        <v>16</v>
      </c>
      <c r="C35" s="10" t="s">
        <v>17</v>
      </c>
      <c r="D35" s="10">
        <v>38</v>
      </c>
      <c r="E35" s="10">
        <v>2.6</v>
      </c>
    </row>
    <row r="36" spans="1:5" x14ac:dyDescent="0.2">
      <c r="A36" s="4">
        <v>35</v>
      </c>
      <c r="B36" s="4" t="s">
        <v>19</v>
      </c>
      <c r="C36" s="4" t="s">
        <v>14</v>
      </c>
      <c r="D36" s="4">
        <v>98</v>
      </c>
      <c r="E36" s="4">
        <v>6.1</v>
      </c>
    </row>
    <row r="37" spans="1:5" x14ac:dyDescent="0.2">
      <c r="A37" s="10">
        <v>36</v>
      </c>
      <c r="B37" s="10" t="s">
        <v>22</v>
      </c>
      <c r="C37" s="10" t="s">
        <v>14</v>
      </c>
      <c r="D37" s="10">
        <v>71</v>
      </c>
      <c r="E37" s="10">
        <v>4.7</v>
      </c>
    </row>
    <row r="38" spans="1:5" x14ac:dyDescent="0.2">
      <c r="A38" s="4">
        <v>37</v>
      </c>
      <c r="B38" s="4" t="s">
        <v>24</v>
      </c>
      <c r="C38" s="4" t="s">
        <v>17</v>
      </c>
      <c r="D38" s="4">
        <v>42</v>
      </c>
      <c r="E38" s="4">
        <v>3.1</v>
      </c>
    </row>
    <row r="39" spans="1:5" x14ac:dyDescent="0.2">
      <c r="A39" s="10">
        <v>38</v>
      </c>
      <c r="B39" s="10" t="s">
        <v>26</v>
      </c>
      <c r="C39" s="10" t="s">
        <v>20</v>
      </c>
      <c r="D39" s="10">
        <v>132</v>
      </c>
      <c r="E39" s="10">
        <v>8.6</v>
      </c>
    </row>
    <row r="40" spans="1:5" x14ac:dyDescent="0.2">
      <c r="A40" s="4">
        <v>39</v>
      </c>
      <c r="B40" s="4" t="s">
        <v>22</v>
      </c>
      <c r="C40" s="4" t="s">
        <v>14</v>
      </c>
      <c r="D40" s="4">
        <v>107</v>
      </c>
      <c r="E40" s="4">
        <v>6.8</v>
      </c>
    </row>
    <row r="41" spans="1:5" x14ac:dyDescent="0.2">
      <c r="A41" s="10">
        <v>40</v>
      </c>
      <c r="B41" s="10" t="s">
        <v>16</v>
      </c>
      <c r="C41" s="10" t="s">
        <v>14</v>
      </c>
      <c r="D41" s="10">
        <v>83</v>
      </c>
      <c r="E41" s="10">
        <v>5.6</v>
      </c>
    </row>
    <row r="42" spans="1:5" x14ac:dyDescent="0.2">
      <c r="A42" s="4">
        <v>41</v>
      </c>
      <c r="B42" s="4" t="s">
        <v>22</v>
      </c>
      <c r="C42" s="4" t="s">
        <v>14</v>
      </c>
      <c r="D42" s="4">
        <v>78</v>
      </c>
      <c r="E42" s="4">
        <v>5</v>
      </c>
    </row>
    <row r="43" spans="1:5" x14ac:dyDescent="0.2">
      <c r="A43" s="10">
        <v>42</v>
      </c>
      <c r="B43" s="10" t="s">
        <v>16</v>
      </c>
      <c r="C43" s="10" t="s">
        <v>17</v>
      </c>
      <c r="D43" s="10">
        <v>36</v>
      </c>
      <c r="E43" s="10">
        <v>2.7</v>
      </c>
    </row>
    <row r="44" spans="1:5" x14ac:dyDescent="0.2">
      <c r="A44" s="4">
        <v>43</v>
      </c>
      <c r="B44" s="4" t="s">
        <v>19</v>
      </c>
      <c r="C44" s="4" t="s">
        <v>20</v>
      </c>
      <c r="D44" s="4">
        <v>128</v>
      </c>
      <c r="E44" s="4">
        <v>7.5</v>
      </c>
    </row>
    <row r="45" spans="1:5" x14ac:dyDescent="0.2">
      <c r="A45" s="10">
        <v>44</v>
      </c>
      <c r="B45" s="10" t="s">
        <v>22</v>
      </c>
      <c r="C45" s="10" t="s">
        <v>14</v>
      </c>
      <c r="D45" s="10">
        <v>65</v>
      </c>
      <c r="E45" s="10">
        <v>5.2</v>
      </c>
    </row>
    <row r="46" spans="1:5" x14ac:dyDescent="0.2">
      <c r="A46" s="4">
        <v>45</v>
      </c>
      <c r="B46" s="4" t="s">
        <v>24</v>
      </c>
      <c r="C46" s="4" t="s">
        <v>14</v>
      </c>
      <c r="D46" s="4">
        <v>90</v>
      </c>
      <c r="E46" s="4">
        <v>6.5</v>
      </c>
    </row>
    <row r="47" spans="1:5" x14ac:dyDescent="0.2">
      <c r="A47" s="10">
        <v>46</v>
      </c>
      <c r="B47" s="10" t="s">
        <v>26</v>
      </c>
      <c r="C47" s="10" t="s">
        <v>17</v>
      </c>
      <c r="D47" s="10">
        <v>47</v>
      </c>
      <c r="E47" s="10">
        <v>3.4</v>
      </c>
    </row>
    <row r="48" spans="1:5" x14ac:dyDescent="0.2">
      <c r="A48" s="4">
        <v>47</v>
      </c>
      <c r="B48" s="4" t="s">
        <v>22</v>
      </c>
      <c r="C48" s="4" t="s">
        <v>14</v>
      </c>
      <c r="D48" s="4">
        <v>95</v>
      </c>
      <c r="E48" s="4">
        <v>6</v>
      </c>
    </row>
    <row r="49" spans="1:5" x14ac:dyDescent="0.2">
      <c r="A49" s="10">
        <v>48</v>
      </c>
      <c r="B49" s="10" t="s">
        <v>16</v>
      </c>
      <c r="C49" s="10" t="s">
        <v>14</v>
      </c>
      <c r="D49" s="10">
        <v>75</v>
      </c>
      <c r="E49" s="10">
        <v>4.3</v>
      </c>
    </row>
    <row r="50" spans="1:5" x14ac:dyDescent="0.2">
      <c r="A50" s="4">
        <v>49</v>
      </c>
      <c r="B50" s="4" t="s">
        <v>19</v>
      </c>
      <c r="C50" s="4" t="s">
        <v>14</v>
      </c>
      <c r="D50" s="4">
        <v>105</v>
      </c>
      <c r="E50" s="4">
        <v>6.7</v>
      </c>
    </row>
    <row r="51" spans="1:5" x14ac:dyDescent="0.2">
      <c r="A51" s="10">
        <v>50</v>
      </c>
      <c r="B51" s="10" t="s">
        <v>22</v>
      </c>
      <c r="C51" s="10" t="s">
        <v>17</v>
      </c>
      <c r="D51" s="10">
        <v>55</v>
      </c>
      <c r="E51" s="10">
        <v>4.0999999999999996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STEFANY POTOS� REYES</cp:lastModifiedBy>
  <dcterms:modified xsi:type="dcterms:W3CDTF">2026-06-16T02:21:09Z</dcterms:modified>
</cp:coreProperties>
</file>